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ravaux\S7\S7APP\01 - PLEIADES\02 - DOCUMENTATION\02 - DDR3\"/>
    </mc:Choice>
  </mc:AlternateContent>
  <xr:revisionPtr revIDLastSave="0" documentId="13_ncr:1_{DFFCC00F-BBEB-4400-9464-16B2E334536B}" xr6:coauthVersionLast="45" xr6:coauthVersionMax="45" xr10:uidLastSave="{00000000-0000-0000-0000-000000000000}"/>
  <bookViews>
    <workbookView xWindow="-120" yWindow="-120" windowWidth="38640" windowHeight="21240" activeTab="6"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5" i="2" l="1"/>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<sst xmlns="http://schemas.openxmlformats.org/spreadsheetml/2006/main" count="1211" uniqueCount="336">
  <si>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</si>
  <si>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</si>
  <si>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</si>
  <si>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</si>
  <si>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</si>
  <si>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</si>
  <si>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</si>
  <si>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</si>
  <si>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</si>
  <si>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</si>
  <si>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</si>
  <si>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</si>
  <si>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</si>
  <si>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</si>
  <si>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</si>
  <si>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</si>
  <si>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</si>
  <si>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</si>
  <si>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</si>
  <si>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</si>
  <si>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</si>
  <si>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</si>
  <si>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</si>
  <si>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</si>
  <si>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</si>
  <si>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</si>
  <si>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</si>
  <si>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</si>
  <si>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</si>
  <si>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</si>
  <si>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</si>
  <si>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</si>
  <si>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</si>
  <si>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</si>
  <si>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</si>
  <si>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</si>
  <si>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</si>
  <si>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</si>
  <si>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</si>
  <si>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</si>
  <si>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</si>
  <si>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</si>
  <si>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</si>
  <si>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</si>
  <si>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</si>
  <si>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</si>
  <si>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</si>
  <si>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</si>
  <si>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</si>
  <si>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</si>
  <si>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</si>
  <si>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</si>
  <si>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</si>
  <si>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</si>
  <si>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</si>
  <si>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</si>
  <si>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</si>
  <si>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</si>
  <si>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</si>
  <si>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</si>
  <si>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</si>
  <si>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</si>
  <si>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</si>
  <si>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</si>
  <si>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</si>
  <si>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</si>
  <si>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</si>
  <si>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</si>
  <si>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</si>
  <si>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</si>
  <si>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</si>
  <si>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</si>
  <si>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</si>
  <si>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</si>
  <si>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</si>
  <si>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</si>
  <si>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</si>
  <si>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</si>
  <si>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</si>
  <si>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</si>
  <si>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</si>
  <si>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</si>
  <si>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</si>
  <si>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</si>
  <si>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</si>
  <si>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</si>
  <si>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</si>
  <si>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</si>
  <si>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</si>
  <si>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</si>
  <si>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</si>
  <si>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</si>
  <si>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</si>
  <si>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</si>
  <si>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</si>
  <si>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</si>
  <si>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</si>
  <si>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</si>
  <si>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</si>
  <si>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</si>
  <si>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</si>
  <si>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</si>
  <si>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</si>
  <si>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</si>
  <si>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</si>
  <si>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</si>
  <si>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</si>
  <si>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</si>
  <si>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</si>
  <si>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</si>
  <si>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</si>
  <si>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</si>
  <si>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</si>
  <si>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</si>
  <si>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</si>
  <si>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</si>
  <si>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</si>
  <si>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</si>
  <si>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</si>
  <si>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</si>
  <si>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</si>
  <si>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</si>
  <si>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</si>
  <si>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</si>
  <si>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</si>
  <si>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</si>
  <si>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</si>
  <si>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</si>
  <si>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</si>
  <si>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</si>
  <si>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</si>
  <si>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</si>
  <si>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</si>
  <si>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</si>
  <si>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</si>
  <si>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</si>
  <si>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</si>
  <si>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</si>
  <si>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</si>
  <si>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</si>
  <si>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</si>
  <si>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</si>
  <si>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</si>
  <si>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</si>
  <si>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</si>
  <si>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</si>
  <si>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</si>
  <si>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</si>
  <si>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</si>
  <si>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</si>
  <si>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</si>
  <si>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</si>
  <si>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</si>
  <si>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</si>
  <si>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</si>
  <si>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</si>
  <si>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</si>
  <si>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</si>
  <si>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</si>
  <si>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</si>
  <si>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</si>
  <si>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</si>
  <si>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</si>
  <si>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</si>
  <si>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</si>
  <si>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</si>
  <si>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</si>
  <si>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</si>
  <si>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</si>
  <si>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</si>
  <si>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</si>
  <si>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</si>
  <si>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</si>
  <si>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</si>
  <si>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</si>
  <si>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</si>
  <si>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</si>
  <si>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</si>
  <si>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</si>
  <si>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</si>
  <si>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</si>
  <si>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</si>
  <si>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</si>
  <si>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</si>
  <si>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</si>
  <si>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</si>
  <si>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</si>
  <si>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</si>
  <si>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</si>
  <si>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</si>
  <si>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</si>
  <si>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</si>
  <si>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</si>
  <si>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</si>
  <si>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</si>
  <si>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</si>
  <si>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</si>
  <si>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</si>
  <si>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</si>
  <si>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</si>
  <si>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</si>
  <si>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</si>
  <si>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</si>
  <si>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</si>
  <si>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</si>
  <si>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</si>
  <si>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</si>
  <si>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</si>
  <si>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</si>
  <si>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</si>
  <si>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</si>
  <si>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</si>
  <si>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</si>
  <si>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</si>
  <si>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</si>
  <si>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</si>
  <si>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</si>
  <si>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</si>
  <si>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</si>
  <si>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</si>
  <si>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</si>
  <si>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</si>
  <si>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</si>
  <si>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</si>
  <si>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</si>
  <si>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</si>
  <si>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</si>
  <si>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</si>
  <si>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</si>
  <si>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</si>
  <si>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</si>
  <si>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</si>
  <si>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</si>
  <si>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</si>
  <si>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</si>
  <si>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</si>
  <si>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</si>
  <si>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</si>
  <si>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</si>
  <si>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</si>
  <si>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</si>
  <si>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</si>
  <si>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</si>
  <si>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</si>
  <si>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</si>
  <si>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</si>
  <si>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</si>
  <si>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</si>
  <si>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</si>
  <si>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</si>
  <si>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</si>
  <si>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</si>
  <si>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</si>
  <si>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</si>
  <si>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</si>
  <si>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</si>
  <si>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</si>
  <si>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</si>
  <si>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</si>
  <si>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</si>
  <si>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</si>
  <si>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</si>
  <si>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</si>
  <si>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</si>
  <si>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</si>
  <si>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</si>
  <si>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</si>
  <si>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</si>
  <si>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</si>
  <si>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</si>
  <si>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</si>
  <si>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</si>
  <si>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</si>
  <si>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</si>
  <si>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</si>
  <si>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</si>
  <si>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</si>
  <si>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</si>
  <si>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</si>
  <si>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</si>
  <si>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</si>
  <si>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</si>
  <si>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</si>
  <si>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</si>
  <si>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</si>
  <si>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</si>
  <si>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</si>
  <si>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</si>
  <si>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</si>
  <si>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</si>
  <si>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</si>
  <si>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</si>
  <si>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</si>
  <si>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</si>
  <si>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</si>
  <si>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</si>
  <si>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</si>
  <si>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</si>
  <si>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</si>
  <si>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</si>
  <si>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</si>
  <si>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</si>
  <si>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</si>
  <si>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</si>
  <si>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</si>
  <si>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</si>
  <si>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</si>
  <si>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</si>
  <si>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</si>
  <si>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</si>
  <si>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</si>
  <si>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</si>
  <si>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</si>
  <si>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</si>
  <si>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</si>
  <si>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</si>
  <si>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</si>
  <si>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</si>
  <si>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</si>
  <si>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</si>
  <si>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</si>
  <si>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</si>
  <si>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</si>
  <si>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</si>
  <si>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</si>
  <si>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</si>
  <si>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</si>
  <si>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</si>
  <si>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</si>
  <si>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</si>
  <si>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</si>
  <si>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</si>
  <si>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</si>
  <si>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</si>
  <si>
    <t>CK</t>
  </si>
  <si>
    <t>1,25 typ mais en dessous de 1.5 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</si>
</sst>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3">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applyBorder="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5" fontId="0" fillId="0" borderId="0" xfId="0" applyNumberFormat="1"/>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Border="1" applyAlignment="1">
      <alignment vertical="center"/>
    </xf>
    <xf numFmtId="165"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5"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xf numFmtId="0" fontId="2" fillId="0" borderId="0" xfId="0" applyFont="1" applyAlignment="1">
      <alignment vertical="center"/>
    </xf>
    <xf numFmtId="0" fontId="2" fillId="0" borderId="0" xfId="0" applyFont="1" applyAlignment="1">
      <alignment vertical="center" wrapText="1"/>
    </xf>
  </cellXfs>
  <cellStyles count="5">
    <cellStyle name="Lien hypertexte" xfId="2" builtinId="8"/>
    <cellStyle name="Milliers" xfId="1" builtinId="3"/>
    <cellStyle name="Normal" xfId="0" builtinId="0"/>
    <cellStyle name="Normal 2" xfId="4" xr:uid="{00000000-0005-0000-0000-000003000000}"/>
    <cellStyle name="Pourcentage"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83.512352309344806</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299.59183673469386</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25.677655677655686</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fr-FR"/>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83.512352309344806</c:v>
                </c:pt>
                <c:pt idx="1">
                  <c:v>70.000000000000014</c:v>
                </c:pt>
                <c:pt idx="2">
                  <c:v>0</c:v>
                </c:pt>
                <c:pt idx="3">
                  <c:v>229.59183673469386</c:v>
                </c:pt>
                <c:pt idx="4">
                  <c:v>0</c:v>
                </c:pt>
                <c:pt idx="5">
                  <c:v>13.214285714285719</c:v>
                </c:pt>
                <c:pt idx="6">
                  <c:v>8.2142857142857153</c:v>
                </c:pt>
                <c:pt idx="7">
                  <c:v>0</c:v>
                </c:pt>
                <c:pt idx="8">
                  <c:v>0</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fr-FR"/>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fr-FR"/>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baseColWidth="10"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53">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workbookViewId="0">
      <selection activeCell="C12" sqref="C12"/>
    </sheetView>
  </sheetViews>
  <sheetFormatPr baseColWidth="10"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51">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T38" sqref="T38"/>
    </sheetView>
  </sheetViews>
  <sheetFormatPr baseColWidth="10"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79" t="s">
        <v>161</v>
      </c>
      <c r="E4" s="279"/>
      <c r="F4" s="279"/>
      <c r="G4" s="279"/>
      <c r="H4" s="279"/>
      <c r="I4" s="279"/>
      <c r="J4" s="279"/>
      <c r="K4" s="279"/>
      <c r="L4" s="279"/>
      <c r="M4" s="279"/>
      <c r="N4" s="41"/>
      <c r="O4" s="279" t="s">
        <v>205</v>
      </c>
      <c r="P4" s="279"/>
      <c r="Q4" s="279"/>
      <c r="R4" s="279"/>
      <c r="S4" s="279"/>
      <c r="T4" s="279"/>
      <c r="U4" s="279"/>
      <c r="V4" s="279"/>
      <c r="W4" s="279"/>
      <c r="X4" s="279"/>
      <c r="Y4" s="41"/>
      <c r="Z4" s="279" t="s">
        <v>206</v>
      </c>
      <c r="AA4" s="279"/>
      <c r="AB4" s="279"/>
      <c r="AC4" s="279"/>
      <c r="AD4" s="279"/>
      <c r="AE4" s="279"/>
      <c r="AF4" s="279"/>
      <c r="AG4" s="279"/>
      <c r="AH4" s="279"/>
      <c r="AI4" s="279"/>
      <c r="AJ4" s="41"/>
      <c r="AK4" s="279" t="s">
        <v>316</v>
      </c>
      <c r="AL4" s="279"/>
      <c r="AM4" s="279"/>
      <c r="AN4" s="279"/>
      <c r="AO4" s="279"/>
      <c r="AP4" s="279"/>
      <c r="AQ4" s="279"/>
      <c r="AR4" s="279"/>
      <c r="AS4" s="279"/>
      <c r="AT4" s="279"/>
      <c r="AU4" s="41"/>
      <c r="AV4" s="279" t="s">
        <v>317</v>
      </c>
      <c r="AW4" s="279"/>
      <c r="AX4" s="279"/>
      <c r="AY4" s="279"/>
      <c r="AZ4" s="279"/>
      <c r="BA4" s="279"/>
      <c r="BB4" s="279"/>
      <c r="BC4" s="279"/>
      <c r="BD4" s="279"/>
      <c r="BE4" s="279"/>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4" t="s">
        <v>230</v>
      </c>
      <c r="C6" s="264"/>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1.575</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4" t="s">
        <v>231</v>
      </c>
      <c r="C7" s="264"/>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1.425</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80"/>
      <c r="B8" s="281"/>
      <c r="C8" s="282"/>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1" t="s">
        <v>220</v>
      </c>
      <c r="B9" s="265"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1"/>
      <c r="B10" s="266"/>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2" t="s">
        <v>221</v>
      </c>
      <c r="B11" s="283"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3"/>
      <c r="B12" s="284"/>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2" t="s">
        <v>222</v>
      </c>
      <c r="B13" s="283"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3"/>
      <c r="B14" s="284"/>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68" t="s">
        <v>223</v>
      </c>
      <c r="B15" s="265"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69"/>
      <c r="B16" s="266"/>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1" t="s">
        <v>224</v>
      </c>
      <c r="B17" s="264"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1"/>
      <c r="B18" s="264"/>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1" t="s">
        <v>225</v>
      </c>
      <c r="B19" s="267"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1"/>
      <c r="B20" s="267"/>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1" t="s">
        <v>226</v>
      </c>
      <c r="B21" s="264"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1"/>
      <c r="B22" s="264"/>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1"/>
      <c r="B23" s="264"/>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1" t="s">
        <v>227</v>
      </c>
      <c r="B24" s="264"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1"/>
      <c r="B25" s="264"/>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1"/>
      <c r="B26" s="264"/>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1" t="s">
        <v>249</v>
      </c>
      <c r="B27" s="267"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1"/>
      <c r="B28" s="267"/>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6"/>
      <c r="B29" s="277"/>
      <c r="C29" s="278"/>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5" t="s">
        <v>188</v>
      </c>
      <c r="C30" s="275"/>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70" t="s">
        <v>189</v>
      </c>
      <c r="B31" s="265"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71"/>
      <c r="B32" s="266"/>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4" t="s">
        <v>150</v>
      </c>
      <c r="C33" s="264"/>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5" t="s">
        <v>192</v>
      </c>
      <c r="C34" s="264"/>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4" t="s">
        <v>151</v>
      </c>
      <c r="C35" s="264"/>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4" t="s">
        <v>92</v>
      </c>
      <c r="C36" s="264"/>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4" t="s">
        <v>196</v>
      </c>
      <c r="C37" s="264"/>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4" t="s">
        <v>198</v>
      </c>
      <c r="C38" s="264"/>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301" t="s">
        <v>334</v>
      </c>
      <c r="B40" s="302" t="s">
        <v>335</v>
      </c>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72" t="s">
        <v>300</v>
      </c>
      <c r="B41" s="273"/>
      <c r="C41" s="273"/>
      <c r="D41" s="273"/>
      <c r="E41" s="273"/>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4"/>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-125</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6</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1.575</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1.575</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1.425</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1.425</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1"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42</v>
      </c>
      <c r="X47" s="54"/>
      <c r="Y47" s="54"/>
      <c r="Z47" s="54"/>
      <c r="AA47" s="54"/>
      <c r="AB47" s="54"/>
      <c r="AC47" s="54"/>
      <c r="AD47" s="54"/>
      <c r="AE47" s="54"/>
      <c r="AF47" s="54"/>
      <c r="AG47" s="54"/>
      <c r="AH47" s="54"/>
      <c r="AI47" s="54"/>
      <c r="AJ47" s="54"/>
      <c r="AK47" s="34"/>
    </row>
    <row r="48" spans="1:59" ht="24" hidden="1" customHeight="1">
      <c r="A48" s="56"/>
      <c r="B48" s="57"/>
      <c r="C48" s="261"/>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49</v>
      </c>
      <c r="X48" s="54"/>
      <c r="Y48" s="54"/>
      <c r="Z48" s="54"/>
      <c r="AA48" s="54"/>
      <c r="AB48" s="54"/>
      <c r="AC48" s="54"/>
      <c r="AD48" s="54"/>
      <c r="AE48" s="54"/>
      <c r="AF48" s="54"/>
      <c r="AG48" s="54"/>
      <c r="AH48" s="54"/>
      <c r="AI48" s="54"/>
      <c r="AJ48" s="54"/>
      <c r="AK48" s="34"/>
    </row>
    <row r="49" spans="1:37" ht="24" hidden="1" customHeight="1">
      <c r="A49" s="56"/>
      <c r="B49" s="57"/>
      <c r="C49" s="262"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3"/>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68"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69"/>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68"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69"/>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61"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22</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22</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22</v>
      </c>
      <c r="J55" s="54">
        <f>IF('DDR3 Config'!$G$1=1,'DDR3 Spec'!J17,IF('DDR3 Config'!$G$1=2,'DDR3 Spec'!U17,IF('DDR3 Config'!$G$1=3,'DDR3 Spec'!AF17,IF('DDR3 Config'!$G$1=4,'DDR3 Spec'!AQ17,'DDR3 Spec'!BB17))))</f>
        <v>22</v>
      </c>
      <c r="K55" s="54">
        <f>IF('DDR3 Config'!$G$1=1,'DDR3 Spec'!K17,IF('DDR3 Config'!$G$1=2,'DDR3 Spec'!V17,IF('DDR3 Config'!$G$1=3,'DDR3 Spec'!AG17,IF('DDR3 Config'!$G$1=4,'DDR3 Spec'!AR17,'DDR3 Spec'!BC17))))</f>
        <v>22</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22</v>
      </c>
      <c r="X55" s="54"/>
      <c r="Y55" s="54"/>
      <c r="Z55" s="54"/>
      <c r="AA55" s="54"/>
      <c r="AB55" s="54"/>
      <c r="AC55" s="54"/>
      <c r="AD55" s="54"/>
      <c r="AE55" s="54"/>
      <c r="AF55" s="54"/>
      <c r="AG55" s="54"/>
      <c r="AH55" s="54"/>
      <c r="AI55" s="54"/>
      <c r="AJ55" s="54"/>
      <c r="AK55" s="34"/>
    </row>
    <row r="56" spans="1:37" ht="24" hidden="1" customHeight="1">
      <c r="A56" s="56"/>
      <c r="B56" s="57"/>
      <c r="C56" s="261"/>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22</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22</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22</v>
      </c>
      <c r="J56" s="54">
        <f>IF('DDR3 Config'!$G$1=1,'DDR3 Spec'!J18,IF('DDR3 Config'!$G$1=2,'DDR3 Spec'!U18,IF('DDR3 Config'!$G$1=3,'DDR3 Spec'!AF18,IF('DDR3 Config'!$G$1=4,'DDR3 Spec'!AQ18,'DDR3 Spec'!BB18))))</f>
        <v>22</v>
      </c>
      <c r="K56" s="54">
        <f>IF('DDR3 Config'!$G$1=1,'DDR3 Spec'!K18,IF('DDR3 Config'!$G$1=2,'DDR3 Spec'!V18,IF('DDR3 Config'!$G$1=3,'DDR3 Spec'!AG18,IF('DDR3 Config'!$G$1=4,'DDR3 Spec'!AR18,'DDR3 Spec'!BC18))))</f>
        <v>22</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22</v>
      </c>
      <c r="X56" s="54"/>
      <c r="Y56" s="54"/>
      <c r="Z56" s="54"/>
      <c r="AA56" s="54"/>
      <c r="AB56" s="54"/>
      <c r="AC56" s="54"/>
      <c r="AD56" s="54"/>
      <c r="AE56" s="54"/>
      <c r="AF56" s="54"/>
      <c r="AG56" s="54"/>
      <c r="AH56" s="54"/>
      <c r="AI56" s="54"/>
      <c r="AJ56" s="54"/>
      <c r="AK56" s="34"/>
    </row>
    <row r="57" spans="1:37" ht="24" hidden="1" customHeight="1">
      <c r="A57" s="56"/>
      <c r="B57" s="57"/>
      <c r="C57" s="268"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35</v>
      </c>
      <c r="X57" s="54"/>
      <c r="Y57" s="54"/>
      <c r="Z57" s="54"/>
      <c r="AA57" s="54"/>
      <c r="AB57" s="54"/>
      <c r="AC57" s="54"/>
      <c r="AD57" s="54"/>
      <c r="AE57" s="54"/>
      <c r="AF57" s="54"/>
      <c r="AG57" s="54"/>
      <c r="AH57" s="54"/>
      <c r="AI57" s="54"/>
      <c r="AJ57" s="54"/>
      <c r="AK57" s="34"/>
    </row>
    <row r="58" spans="1:37" ht="24" hidden="1" customHeight="1">
      <c r="A58" s="56"/>
      <c r="B58" s="57"/>
      <c r="C58" s="269"/>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39</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37</v>
      </c>
      <c r="X58" s="54"/>
      <c r="Y58" s="54"/>
      <c r="Z58" s="54"/>
      <c r="AA58" s="54"/>
      <c r="AB58" s="54"/>
      <c r="AC58" s="54"/>
      <c r="AD58" s="54"/>
      <c r="AE58" s="54"/>
      <c r="AF58" s="54"/>
      <c r="AG58" s="54"/>
      <c r="AH58" s="54"/>
      <c r="AI58" s="54"/>
      <c r="AJ58" s="54"/>
      <c r="AK58" s="34"/>
    </row>
    <row r="59" spans="1:37" ht="24" hidden="1" customHeight="1">
      <c r="A59" s="56"/>
      <c r="B59" s="57"/>
      <c r="C59" s="261"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120</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106</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96</v>
      </c>
      <c r="J59" s="54">
        <f>IF('DDR3 Config'!$G$1=1,'DDR3 Spec'!J21,IF('DDR3 Config'!$G$1=2,'DDR3 Spec'!U21,IF('DDR3 Config'!$G$1=3,'DDR3 Spec'!AF21,IF('DDR3 Config'!$G$1=4,'DDR3 Spec'!AQ21,'DDR3 Spec'!BB21))))</f>
        <v>84</v>
      </c>
      <c r="K59" s="54">
        <f>IF('DDR3 Config'!$G$1=1,'DDR3 Spec'!K21,IF('DDR3 Config'!$G$1=2,'DDR3 Spec'!V21,IF('DDR3 Config'!$G$1=3,'DDR3 Spec'!AG21,IF('DDR3 Config'!$G$1=4,'DDR3 Spec'!AR21,'DDR3 Spec'!BC21))))</f>
        <v>70</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96</v>
      </c>
      <c r="X59" s="54"/>
      <c r="Y59" s="54"/>
      <c r="Z59" s="54"/>
      <c r="AA59" s="54"/>
      <c r="AB59" s="54"/>
      <c r="AC59" s="54"/>
      <c r="AD59" s="54"/>
      <c r="AE59" s="54"/>
      <c r="AF59" s="54"/>
      <c r="AG59" s="54"/>
      <c r="AH59" s="54"/>
      <c r="AI59" s="54"/>
      <c r="AJ59" s="54"/>
      <c r="AK59" s="34"/>
    </row>
    <row r="60" spans="1:37" ht="24" hidden="1" customHeight="1">
      <c r="A60" s="56"/>
      <c r="B60" s="57"/>
      <c r="C60" s="261"/>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100</v>
      </c>
      <c r="X60" s="54"/>
      <c r="Y60" s="54"/>
      <c r="Z60" s="54"/>
      <c r="AA60" s="54"/>
      <c r="AB60" s="54"/>
      <c r="AC60" s="54"/>
      <c r="AD60" s="54"/>
      <c r="AE60" s="54"/>
      <c r="AF60" s="54"/>
      <c r="AG60" s="54"/>
      <c r="AH60" s="54"/>
      <c r="AI60" s="54"/>
      <c r="AJ60" s="54"/>
      <c r="AK60" s="34"/>
    </row>
    <row r="61" spans="1:37" ht="24" hidden="1" customHeight="1">
      <c r="A61" s="56"/>
      <c r="B61" s="57"/>
      <c r="C61" s="261"/>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135</v>
      </c>
      <c r="X61" s="54"/>
      <c r="Y61" s="54"/>
      <c r="Z61" s="54"/>
      <c r="AA61" s="54"/>
      <c r="AB61" s="54"/>
      <c r="AC61" s="54"/>
      <c r="AD61" s="54"/>
      <c r="AE61" s="54"/>
      <c r="AF61" s="54"/>
      <c r="AG61" s="54"/>
      <c r="AH61" s="54"/>
      <c r="AI61" s="54"/>
      <c r="AJ61" s="54"/>
      <c r="AK61" s="34"/>
    </row>
    <row r="62" spans="1:37" ht="24" hidden="1" customHeight="1">
      <c r="A62" s="56"/>
      <c r="B62" s="57"/>
      <c r="C62" s="261"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122</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110</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99</v>
      </c>
      <c r="J62" s="54">
        <f>IF('DDR3 Config'!$G$1=1,'DDR3 Spec'!J24,IF('DDR3 Config'!$G$1=2,'DDR3 Spec'!U24,IF('DDR3 Config'!$G$1=3,'DDR3 Spec'!AF24,IF('DDR3 Config'!$G$1=4,'DDR3 Spec'!AQ24,'DDR3 Spec'!BB24))))</f>
        <v>87</v>
      </c>
      <c r="K62" s="54">
        <f>IF('DDR3 Config'!$G$1=1,'DDR3 Spec'!K24,IF('DDR3 Config'!$G$1=2,'DDR3 Spec'!V24,IF('DDR3 Config'!$G$1=3,'DDR3 Spec'!AG24,IF('DDR3 Config'!$G$1=4,'DDR3 Spec'!AR24,'DDR3 Spec'!BC24))))</f>
        <v>75</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99</v>
      </c>
      <c r="X62" s="54"/>
      <c r="Y62" s="54"/>
      <c r="Z62" s="54"/>
      <c r="AA62" s="54"/>
      <c r="AB62" s="54"/>
      <c r="AC62" s="54"/>
      <c r="AD62" s="54"/>
      <c r="AE62" s="54"/>
      <c r="AF62" s="54"/>
      <c r="AG62" s="54"/>
      <c r="AH62" s="54"/>
      <c r="AI62" s="54"/>
      <c r="AJ62" s="54"/>
      <c r="AK62" s="34"/>
    </row>
    <row r="63" spans="1:37" ht="24" hidden="1" customHeight="1">
      <c r="A63" s="56"/>
      <c r="B63" s="57"/>
      <c r="C63" s="261"/>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103</v>
      </c>
      <c r="X63" s="54"/>
      <c r="Y63" s="54"/>
      <c r="Z63" s="54"/>
      <c r="AA63" s="54"/>
      <c r="AB63" s="54"/>
      <c r="AC63" s="54"/>
      <c r="AD63" s="54"/>
      <c r="AE63" s="54"/>
      <c r="AF63" s="54"/>
      <c r="AG63" s="54"/>
      <c r="AH63" s="54"/>
      <c r="AI63" s="54"/>
      <c r="AJ63" s="54"/>
      <c r="AK63" s="34"/>
    </row>
    <row r="64" spans="1:37" ht="24" hidden="1" customHeight="1">
      <c r="A64" s="56"/>
      <c r="B64" s="57"/>
      <c r="C64" s="261"/>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146</v>
      </c>
      <c r="X64" s="54"/>
      <c r="Y64" s="54"/>
      <c r="Z64" s="54"/>
      <c r="AA64" s="54"/>
      <c r="AB64" s="54"/>
      <c r="AC64" s="54"/>
      <c r="AD64" s="54"/>
      <c r="AE64" s="54"/>
      <c r="AF64" s="54"/>
      <c r="AG64" s="54"/>
      <c r="AH64" s="54"/>
      <c r="AI64" s="54"/>
      <c r="AJ64" s="54"/>
      <c r="AK64" s="34"/>
    </row>
    <row r="65" spans="1:37" ht="24" hidden="1" customHeight="1">
      <c r="A65" s="56"/>
      <c r="B65" s="57"/>
      <c r="C65" s="261"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190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184</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182</v>
      </c>
      <c r="J65" s="54">
        <f>IF('DDR3 Config'!$G$1=1,'DDR3 Spec'!J27,IF('DDR3 Config'!$G$1=2,'DDR3 Spec'!U27,IF('DDR3 Config'!$G$1=3,'DDR3 Spec'!AF27,IF('DDR3 Config'!$G$1=4,'DDR3 Spec'!AQ27,'DDR3 Spec'!BB27))))</f>
        <v>181</v>
      </c>
      <c r="K65" s="54">
        <f>IF('DDR3 Config'!$G$1=1,'DDR3 Spec'!K27,IF('DDR3 Config'!$G$1=2,'DDR3 Spec'!V27,IF('DDR3 Config'!$G$1=3,'DDR3 Spec'!AG27,IF('DDR3 Config'!$G$1=4,'DDR3 Spec'!AR27,'DDR3 Spec'!BC27))))</f>
        <v>179</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182</v>
      </c>
      <c r="X65" s="54"/>
      <c r="Y65" s="54"/>
      <c r="Z65" s="54"/>
      <c r="AA65" s="54"/>
      <c r="AB65" s="54"/>
      <c r="AC65" s="54"/>
      <c r="AD65" s="54"/>
      <c r="AE65" s="54"/>
      <c r="AF65" s="54"/>
      <c r="AG65" s="54"/>
      <c r="AH65" s="54"/>
      <c r="AI65" s="54"/>
      <c r="AJ65" s="54"/>
      <c r="AK65" s="34"/>
    </row>
    <row r="66" spans="1:37" ht="24" hidden="1" customHeight="1">
      <c r="A66" s="56"/>
      <c r="B66" s="57"/>
      <c r="C66" s="261"/>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190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184</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182</v>
      </c>
      <c r="J66" s="54">
        <f>IF('DDR3 Config'!$G$1=1,'DDR3 Spec'!J28,IF('DDR3 Config'!$G$1=2,'DDR3 Spec'!U28,IF('DDR3 Config'!$G$1=3,'DDR3 Spec'!AF28,IF('DDR3 Config'!$G$1=4,'DDR3 Spec'!AQ28,'DDR3 Spec'!BB28))))</f>
        <v>181</v>
      </c>
      <c r="K66" s="54">
        <f>IF('DDR3 Config'!$G$1=1,'DDR3 Spec'!K28,IF('DDR3 Config'!$G$1=2,'DDR3 Spec'!V28,IF('DDR3 Config'!$G$1=3,'DDR3 Spec'!AG28,IF('DDR3 Config'!$G$1=4,'DDR3 Spec'!AR28,'DDR3 Spec'!BC28))))</f>
        <v>179</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182</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1.25</v>
      </c>
      <c r="X69" s="54"/>
      <c r="Y69" s="54"/>
      <c r="Z69" s="54"/>
      <c r="AA69" s="54"/>
      <c r="AB69" s="54"/>
      <c r="AC69" s="54"/>
      <c r="AD69" s="54"/>
      <c r="AE69" s="54"/>
      <c r="AF69" s="54"/>
      <c r="AG69" s="54"/>
      <c r="AH69" s="54"/>
      <c r="AI69" s="54"/>
      <c r="AJ69" s="54"/>
      <c r="AK69" s="34"/>
    </row>
    <row r="70" spans="1:37" ht="24" hidden="1" customHeight="1">
      <c r="A70" s="56"/>
      <c r="B70" s="57"/>
      <c r="C70" s="270"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71"/>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48.75</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35</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160</v>
      </c>
      <c r="E74" s="54">
        <f>IF('DDR3 Config'!$G$1=1,'DDR3 Spec'!E35,IF('DDR3 Config'!$G$1=2,'DDR3 Spec'!P35,IF('DDR3 Config'!$G$1=3,'DDR3 Spec'!AA35,IF('DDR3 Config'!$G$1=4,'DDR3 Spec'!AL35,'DDR3 Spec'!AW35))))</f>
        <v>160</v>
      </c>
      <c r="F74" s="54">
        <f>IF('DDR3 Config'!$G$1=1,'DDR3 Spec'!F35,IF('DDR3 Config'!$G$1=2,'DDR3 Spec'!Q35,IF('DDR3 Config'!$G$1=3,'DDR3 Spec'!AB35,IF('DDR3 Config'!$G$1=4,'DDR3 Spec'!AM35,'DDR3 Spec'!AX35))))</f>
        <v>160</v>
      </c>
      <c r="G74" s="54">
        <f>IF('DDR3 Config'!$G$1=1,'DDR3 Spec'!G35,IF('DDR3 Config'!$G$1=2,'DDR3 Spec'!R35,IF('DDR3 Config'!$G$1=3,'DDR3 Spec'!AC35,IF('DDR3 Config'!$G$1=4,'DDR3 Spec'!AN35,'DDR3 Spec'!AY35))))</f>
        <v>160</v>
      </c>
      <c r="H74" s="54">
        <f>IF('DDR3 Config'!$G$1=1,'DDR3 Spec'!H35,IF('DDR3 Config'!$G$1=2,'DDR3 Spec'!S35,IF('DDR3 Config'!$G$1=3,'DDR3 Spec'!AD35,IF('DDR3 Config'!$G$1=4,'DDR3 Spec'!AO35,'DDR3 Spec'!AZ35))))</f>
        <v>160</v>
      </c>
      <c r="I74" s="54">
        <f>IF('DDR3 Config'!$G$1=1,'DDR3 Spec'!I35,IF('DDR3 Config'!$G$1=2,'DDR3 Spec'!T35,IF('DDR3 Config'!$G$1=3,'DDR3 Spec'!AE35,IF('DDR3 Config'!$G$1=4,'DDR3 Spec'!AP35,'DDR3 Spec'!BA35))))</f>
        <v>160</v>
      </c>
      <c r="J74" s="54">
        <f>IF('DDR3 Config'!$G$1=1,'DDR3 Spec'!J35,IF('DDR3 Config'!$G$1=2,'DDR3 Spec'!U35,IF('DDR3 Config'!$G$1=3,'DDR3 Spec'!AF35,IF('DDR3 Config'!$G$1=4,'DDR3 Spec'!AQ35,'DDR3 Spec'!BB35))))</f>
        <v>160</v>
      </c>
      <c r="K74" s="54">
        <f>IF('DDR3 Config'!$G$1=1,'DDR3 Spec'!K35,IF('DDR3 Config'!$G$1=2,'DDR3 Spec'!V35,IF('DDR3 Config'!$G$1=3,'DDR3 Spec'!AG35,IF('DDR3 Config'!$G$1=4,'DDR3 Spec'!AR35,'DDR3 Spec'!BC35))))</f>
        <v>160</v>
      </c>
      <c r="L74" s="54">
        <f>IF('DDR3 Config'!$G$1=1,'DDR3 Spec'!L35,IF('DDR3 Config'!$G$1=2,'DDR3 Spec'!W35,IF('DDR3 Config'!$G$1=3,'DDR3 Spec'!AH35,IF('DDR3 Config'!$G$1=4,'DDR3 Spec'!AS35,'DDR3 Spec'!BD35))))</f>
        <v>160</v>
      </c>
      <c r="M74" s="54">
        <f>IF('DDR3 Config'!$G$1=1,'DDR3 Spec'!M35,IF('DDR3 Config'!$G$1=2,'DDR3 Spec'!X35,IF('DDR3 Config'!$G$1=3,'DDR3 Spec'!AI35,IF('DDR3 Config'!$G$1=4,'DDR3 Spec'!AT35,'DDR3 Spec'!BE35))))</f>
        <v>160</v>
      </c>
      <c r="N74" s="54"/>
      <c r="O74" s="54"/>
      <c r="P74" s="54"/>
      <c r="Q74" s="54"/>
      <c r="R74" s="54"/>
      <c r="S74" s="54"/>
      <c r="T74" s="54"/>
      <c r="U74" s="54"/>
      <c r="V74" s="54"/>
      <c r="W74" s="54">
        <f>HLOOKUP($W$43,$D$43:$M$77,32)</f>
        <v>160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1.25</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49</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22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37</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135</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146</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182</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1.25</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48.75</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35</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160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1.25</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baseColWidth="10"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2</v>
      </c>
      <c r="H1" s="146">
        <v>6</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5" t="str">
        <f>_xlfn.CONCAT(IF(K12=1,"DDR3","DDR3L")," SDRAM Configuration")</f>
        <v>DDR3 SDRAM Configuration</v>
      </c>
      <c r="B5" s="286"/>
      <c r="C5" s="286"/>
      <c r="D5" s="286"/>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2Gb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-125</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49</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22</v>
      </c>
      <c r="D24" s="88" t="s">
        <v>13</v>
      </c>
      <c r="E24" s="24"/>
      <c r="F24" s="24"/>
    </row>
    <row r="25" spans="1:10" ht="14.25">
      <c r="A25" s="52" t="s">
        <v>225</v>
      </c>
      <c r="B25" s="53" t="s">
        <v>146</v>
      </c>
      <c r="C25" s="248">
        <f>'DDR3 Spec'!L89</f>
        <v>37</v>
      </c>
      <c r="D25" s="88" t="s">
        <v>13</v>
      </c>
    </row>
    <row r="26" spans="1:10" ht="14.25">
      <c r="A26" s="52" t="s">
        <v>226</v>
      </c>
      <c r="B26" s="53" t="s">
        <v>147</v>
      </c>
      <c r="C26" s="248">
        <f>'DDR3 Spec'!L90</f>
        <v>135</v>
      </c>
      <c r="D26" s="88" t="s">
        <v>13</v>
      </c>
    </row>
    <row r="27" spans="1:10" ht="14.25">
      <c r="A27" s="52" t="s">
        <v>227</v>
      </c>
      <c r="B27" s="53" t="s">
        <v>148</v>
      </c>
      <c r="C27" s="248">
        <f>'DDR3 Spec'!L91</f>
        <v>146</v>
      </c>
      <c r="D27" s="88" t="s">
        <v>13</v>
      </c>
    </row>
    <row r="28" spans="1:10" ht="14.25">
      <c r="A28" s="52" t="s">
        <v>228</v>
      </c>
      <c r="B28" s="53" t="s">
        <v>149</v>
      </c>
      <c r="C28" s="248">
        <f>'DDR3 Spec'!L92</f>
        <v>182</v>
      </c>
      <c r="D28" s="88" t="s">
        <v>13</v>
      </c>
    </row>
    <row r="29" spans="1:10" ht="14.25">
      <c r="A29" s="52"/>
      <c r="B29" s="53"/>
      <c r="C29" s="83"/>
      <c r="D29" s="88"/>
    </row>
    <row r="30" spans="1:10" ht="16.5">
      <c r="A30" s="52"/>
      <c r="B30" s="76" t="s">
        <v>188</v>
      </c>
      <c r="C30" s="81">
        <f>'DDR3 Spec'!L94</f>
        <v>1.25</v>
      </c>
      <c r="D30" s="88" t="s">
        <v>36</v>
      </c>
    </row>
    <row r="31" spans="1:10" ht="16.5">
      <c r="A31" s="84" t="s">
        <v>189</v>
      </c>
      <c r="B31" s="53" t="s">
        <v>1</v>
      </c>
      <c r="C31" s="81">
        <f>'DDR3 Spec'!L95</f>
        <v>7.5</v>
      </c>
      <c r="D31" s="88" t="s">
        <v>36</v>
      </c>
    </row>
    <row r="32" spans="1:10" ht="16.5">
      <c r="A32" s="84" t="s">
        <v>190</v>
      </c>
      <c r="B32" s="53" t="s">
        <v>150</v>
      </c>
      <c r="C32" s="81">
        <f>'DDR3 Spec'!L96</f>
        <v>48.75</v>
      </c>
      <c r="D32" s="88" t="s">
        <v>36</v>
      </c>
    </row>
    <row r="33" spans="1:4" ht="16.5">
      <c r="A33" s="84" t="s">
        <v>191</v>
      </c>
      <c r="B33" s="76" t="s">
        <v>236</v>
      </c>
      <c r="C33" s="81">
        <f>'DDR3 Spec'!L97</f>
        <v>35</v>
      </c>
      <c r="D33" s="88" t="s">
        <v>36</v>
      </c>
    </row>
    <row r="34" spans="1:4" ht="16.5">
      <c r="A34" s="84" t="s">
        <v>193</v>
      </c>
      <c r="B34" s="53" t="s">
        <v>151</v>
      </c>
      <c r="C34" s="81">
        <f>'DDR3 Spec'!L98</f>
        <v>160</v>
      </c>
      <c r="D34" s="88" t="s">
        <v>36</v>
      </c>
    </row>
    <row r="35" spans="1:4" ht="16.5">
      <c r="A35" s="84" t="s">
        <v>194</v>
      </c>
      <c r="B35" s="53" t="s">
        <v>92</v>
      </c>
      <c r="C35" s="81">
        <f>'DDR3 Spec'!L99</f>
        <v>7.8</v>
      </c>
      <c r="D35" s="88" t="s">
        <v>201</v>
      </c>
    </row>
    <row r="36" spans="1:4" ht="16.5">
      <c r="A36" s="84" t="s">
        <v>229</v>
      </c>
      <c r="B36" s="53" t="s">
        <v>196</v>
      </c>
      <c r="C36" s="81">
        <f>'DDR3 Spec'!L100</f>
        <v>1.25</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topLeftCell="A16" zoomScale="175" zoomScaleNormal="175" workbookViewId="0">
      <selection activeCell="C21" sqref="C21"/>
    </sheetView>
  </sheetViews>
  <sheetFormatPr baseColWidth="10"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1" t="s">
        <v>291</v>
      </c>
      <c r="H4" s="292"/>
      <c r="I4" s="292"/>
      <c r="J4" s="292"/>
      <c r="K4" s="292"/>
      <c r="L4" s="292"/>
      <c r="M4" s="292"/>
      <c r="N4" s="293"/>
      <c r="O4" s="291" t="s">
        <v>292</v>
      </c>
      <c r="P4" s="294"/>
      <c r="Q4" s="294"/>
      <c r="R4" s="294"/>
      <c r="S4" s="294"/>
      <c r="T4" s="294"/>
      <c r="U4" s="294"/>
      <c r="V4" s="295"/>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400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11.479591836734693</v>
      </c>
      <c r="D11" s="97" t="s">
        <v>10</v>
      </c>
      <c r="E11" s="296"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0</v>
      </c>
      <c r="D12" s="97" t="s">
        <v>10</v>
      </c>
      <c r="E12" s="297"/>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0</v>
      </c>
      <c r="D13" s="97" t="s">
        <v>10</v>
      </c>
      <c r="E13" s="296" t="s">
        <v>283</v>
      </c>
      <c r="F13" s="94"/>
      <c r="G13" s="238"/>
      <c r="H13" s="154" t="s">
        <v>260</v>
      </c>
      <c r="I13" s="156">
        <v>0</v>
      </c>
      <c r="J13" s="154" t="s">
        <v>258</v>
      </c>
      <c r="K13" s="156">
        <v>34</v>
      </c>
      <c r="L13" s="154" t="s">
        <v>262</v>
      </c>
      <c r="M13" s="156">
        <v>0</v>
      </c>
      <c r="N13" s="237"/>
      <c r="O13" s="238"/>
      <c r="P13" s="154" t="s">
        <v>264</v>
      </c>
      <c r="Q13" s="156">
        <v>34</v>
      </c>
      <c r="R13" s="154" t="s">
        <v>266</v>
      </c>
      <c r="S13" s="156">
        <v>0</v>
      </c>
      <c r="T13" s="154" t="s">
        <v>262</v>
      </c>
      <c r="U13" s="249">
        <f>M13</f>
        <v>0</v>
      </c>
      <c r="V13" s="237"/>
      <c r="X13" s="239" t="s">
        <v>276</v>
      </c>
      <c r="Y13" s="240">
        <f>1*Q17/Q13</f>
        <v>22.058823529411764</v>
      </c>
      <c r="Z13" s="239"/>
      <c r="AA13" s="239" t="s">
        <v>278</v>
      </c>
      <c r="AB13" s="240" t="e">
        <f>1000*((Q15-0.001*S17)/S13)</f>
        <v>#VALUE!</v>
      </c>
      <c r="AC13" s="239"/>
      <c r="AD13" s="239" t="s">
        <v>278</v>
      </c>
      <c r="AE13" s="240" t="e">
        <f>1000*((Q15-0.001*U17)/U13)</f>
        <v>#VALUE!</v>
      </c>
      <c r="AF13" s="241"/>
      <c r="AG13" s="241"/>
      <c r="AH13" s="241"/>
      <c r="AI13" s="241"/>
      <c r="AJ13" s="241"/>
      <c r="AK13" s="241"/>
      <c r="AL13" s="241"/>
      <c r="AM13" s="241"/>
      <c r="AN13" s="241"/>
      <c r="AO13" s="162"/>
    </row>
    <row r="14" spans="1:41" ht="30" customHeight="1">
      <c r="A14" s="116" t="s">
        <v>86</v>
      </c>
      <c r="B14" s="101" t="s">
        <v>288</v>
      </c>
      <c r="C14" s="164">
        <f>IF(U18= "na",0, U18) +IF(U19= "na",0, U19)</f>
        <v>0</v>
      </c>
      <c r="D14" s="97" t="s">
        <v>10</v>
      </c>
      <c r="E14" s="297"/>
      <c r="F14" s="94"/>
      <c r="G14" s="238"/>
      <c r="H14" s="155" t="s">
        <v>261</v>
      </c>
      <c r="I14" s="157">
        <v>50</v>
      </c>
      <c r="J14" s="155" t="s">
        <v>259</v>
      </c>
      <c r="K14" s="157">
        <v>15</v>
      </c>
      <c r="L14" s="160" t="s">
        <v>263</v>
      </c>
      <c r="M14" s="161">
        <v>0</v>
      </c>
      <c r="N14" s="237"/>
      <c r="O14" s="238"/>
      <c r="P14" s="155" t="s">
        <v>250</v>
      </c>
      <c r="Q14" s="242"/>
      <c r="R14" s="160" t="s">
        <v>265</v>
      </c>
      <c r="S14" s="161">
        <v>40</v>
      </c>
      <c r="T14" s="160" t="s">
        <v>263</v>
      </c>
      <c r="U14" s="249">
        <f>M14</f>
        <v>0</v>
      </c>
      <c r="V14" s="237"/>
      <c r="X14" s="241"/>
      <c r="Y14" s="241"/>
      <c r="Z14" s="241"/>
      <c r="AA14" s="239" t="s">
        <v>277</v>
      </c>
      <c r="AB14" s="240" t="e">
        <f>1*S17/S14</f>
        <v>#VALUE!</v>
      </c>
      <c r="AC14" s="239"/>
      <c r="AD14" s="239" t="s">
        <v>277</v>
      </c>
      <c r="AE14" s="240" t="e">
        <f>1*U17/U14</f>
        <v>#VALUE!</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0</v>
      </c>
      <c r="N15" s="237"/>
      <c r="O15" s="238"/>
      <c r="P15" s="158" t="s">
        <v>269</v>
      </c>
      <c r="Q15" s="243">
        <f>$C$7</f>
        <v>1.5</v>
      </c>
      <c r="R15" s="155" t="s">
        <v>259</v>
      </c>
      <c r="S15" s="157">
        <v>0</v>
      </c>
      <c r="T15" s="155" t="s">
        <v>272</v>
      </c>
      <c r="U15" s="249">
        <f>M15</f>
        <v>0</v>
      </c>
      <c r="V15" s="237"/>
      <c r="X15" s="241"/>
      <c r="Y15" s="241"/>
      <c r="Z15" s="241"/>
      <c r="AA15" s="239" t="s">
        <v>279</v>
      </c>
      <c r="AB15" s="240" t="e">
        <f>1*(S17-Q17)/S15</f>
        <v>#VALUE!</v>
      </c>
      <c r="AC15" s="239"/>
      <c r="AD15" s="239" t="s">
        <v>279</v>
      </c>
      <c r="AE15" s="240" t="e">
        <f>1*(U17-Q17)/U15</f>
        <v>#VALUE!</v>
      </c>
      <c r="AF15" s="241"/>
      <c r="AG15" s="241"/>
      <c r="AH15" s="241"/>
      <c r="AI15" s="241"/>
      <c r="AJ15" s="241"/>
      <c r="AK15" s="241"/>
      <c r="AL15" s="241"/>
      <c r="AM15" s="241"/>
      <c r="AN15" s="241"/>
      <c r="AO15" s="162"/>
    </row>
    <row r="16" spans="1:41" ht="28.5">
      <c r="A16" s="116" t="s">
        <v>83</v>
      </c>
      <c r="B16" s="101" t="s">
        <v>157</v>
      </c>
      <c r="C16" s="105">
        <v>0.5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v>
      </c>
      <c r="D17" s="97"/>
      <c r="E17" s="102"/>
      <c r="F17" s="94"/>
      <c r="G17" s="238"/>
      <c r="H17" s="163" t="s">
        <v>280</v>
      </c>
      <c r="I17" s="165">
        <f>IF(I15&gt;0,1000*((I15/2)*(K13+K14)/((K13+K14)+IF(M13&gt;0,IF(M14&gt;0,(((I13*I14)/(I13+I14))*((M13*M14)/(M13+M14)+M15)/((I13*I14)/(I13+I14)+((M13*M14)/(M13+M14)+M15))),(I13*I14)/(I13+I14)),(I13*I14)/(I13+I14)))),"na")</f>
        <v>750</v>
      </c>
      <c r="J17" s="163" t="s">
        <v>281</v>
      </c>
      <c r="K17" s="165">
        <f>IF(K13&gt;0,         1000* (       I17*0.001  *K13/(K13+K14)),"na")</f>
        <v>520.40816326530614</v>
      </c>
      <c r="L17" s="163" t="s">
        <v>282</v>
      </c>
      <c r="M17" s="165" t="str">
        <f xml:space="preserve">   IF(M13&gt;0,       IF(M14&gt;0,      1000*         ( I17*0.001+ 1*M15* ( I17*0.001/(K13+K14)  - 0.004)),   "na"),   "na")</f>
        <v>na</v>
      </c>
      <c r="N17" s="237"/>
      <c r="O17" s="238"/>
      <c r="P17" s="163" t="s">
        <v>280</v>
      </c>
      <c r="Q17" s="165">
        <f>IF(Q15&gt;0,   1000*( (Q15/2 ) *   Q13    / (    IF(U13&gt;0, IF(U14&gt;0,    ( ( ((S13*S14)/(S13+S14)+S15 ) *  ((U13*U14)/(U13+U14)+U15)) / ( ((S13*S14)/(S13+S14)+S15)  +  ((U13*U14)/(U13+U14)+U15))), ((S13*S14)/(S13+S14)+S15 ) ), ((S13*S14)/(S13+S14)+S15 ) )        +Q13)      ),"na")</f>
        <v>750</v>
      </c>
      <c r="R17" s="163" t="s">
        <v>281</v>
      </c>
      <c r="S17" s="165" t="str">
        <f>IF(S13&gt;0,IF(S14&gt;0,    Q17+    (1000*Q15/2-Q17)     *     S15 /  ((S13*S14)/(S13+S14) + S15 ),"na"),"na")</f>
        <v>na</v>
      </c>
      <c r="T17" s="163" t="s">
        <v>282</v>
      </c>
      <c r="U17" s="165" t="str">
        <f>IF(U13&gt;0,IF(U14&gt;0,    Q17+    (1000*Q15/2-Q17)     *     U15 /  ((U13*U14)/(U13+U14) + U15 ),"na"),"na")</f>
        <v>na</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v>
      </c>
      <c r="D18" s="97"/>
      <c r="E18" s="98" t="str">
        <f>IF(1-C18&lt;C22+C23,"ERROR, CKE HI must be greater than READ and WRITE output cycles","")</f>
        <v/>
      </c>
      <c r="F18" s="94"/>
      <c r="G18" s="238"/>
      <c r="H18" s="163" t="s">
        <v>267</v>
      </c>
      <c r="I18" s="166" t="str">
        <f>IF(I13&gt;0,IF(I14&gt;0,  1000*   (((I15-I17*0.001)/I13)*((I15-I17*0.001)/I13)*I13)  +  1000*   (((I17*0.001)/I14)*((I17*0.001)/I14)*I14),"na"),"na")</f>
        <v>na</v>
      </c>
      <c r="J18" s="163" t="s">
        <v>268</v>
      </c>
      <c r="K18" s="166">
        <f xml:space="preserve">    IF(K13&gt;0,         1000*  (I17*0.001/(K13+K14)) * (I17*0.001/(K13+K14))   *K13, "na")</f>
        <v>7.9654310703873383</v>
      </c>
      <c r="L18" s="163" t="s">
        <v>274</v>
      </c>
      <c r="M18" s="166" t="str">
        <f>IF(M13&gt;0,IF(M14&gt;0,(1000*(((I15-0.001*M17)/M13)*((I15-0.001*M17)/M13)*M13   +  (0.001*M17/M14)*(0.001*M17/M14)*M14) ),"na"),"na")</f>
        <v>na</v>
      </c>
      <c r="N18" s="237"/>
      <c r="O18" s="238"/>
      <c r="P18" s="163" t="s">
        <v>268</v>
      </c>
      <c r="Q18" s="166">
        <f xml:space="preserve">    IF(Q13&gt;0,         0.001*  (Q17/(Q13)) * (Q17/(Q13))    *Q13, "na")</f>
        <v>16.544117647058826</v>
      </c>
      <c r="R18" s="163" t="s">
        <v>275</v>
      </c>
      <c r="S18" s="166" t="str">
        <f>IF(S13&gt;0,IF(S14&gt;0,   1000*( (1*          ((Q15-0.001*S17)/S13)  * ((Q15-0.001*S17)/S13) *S13     +     (0.001*S17/S14) * (0.001*S17/S14) *S13   )),"na"),"na")</f>
        <v>na</v>
      </c>
      <c r="T18" s="163" t="s">
        <v>274</v>
      </c>
      <c r="U18" s="166" t="str">
        <f>IF(U13&gt;0,IF(U14&gt;0,    1000*(1*          ((Q15-0.001*U17)/U13)  * ((Q15-0.001*U17)/U13) *U13     +     (0.001*U17/U14) * (0.001*U17/U14) *U13   ),"na"),"na")</f>
        <v>na</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3.5141607663473553</v>
      </c>
      <c r="L19" s="163" t="s">
        <v>271</v>
      </c>
      <c r="M19" s="167" t="str">
        <f>IF(M13&gt;0,IF(M14&gt;0,     IF(M15&gt;0,         1000*(   ( (0.001*M17-0.001*I17)/M15) * ( (0.001*M17-0.001*I17)/M15)* M15),"na"),"na"),"na")</f>
        <v>na</v>
      </c>
      <c r="N19" s="237"/>
      <c r="O19" s="238"/>
      <c r="P19" s="162"/>
      <c r="Q19" s="162"/>
      <c r="R19" s="163" t="s">
        <v>273</v>
      </c>
      <c r="S19" s="167" t="str">
        <f>IF(S13&gt;0,IF(S14&gt;0,     IF(S15&gt;0,0.001*((       ((S17-Q17)/S15) * ((S17-Q17)/S15)   *  S15               )   ),0),"na"),"na")</f>
        <v>na</v>
      </c>
      <c r="T19" s="163" t="s">
        <v>271</v>
      </c>
      <c r="U19" s="166" t="str">
        <f>IF(U13&gt;0,IF(U14&gt;0,     IF(U15&gt;0,   0.001*(       ((U17-Q17)/U15) * ((U17-Q17)/U15)   *  U15                  ),0),"na"),"na")</f>
        <v>na</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0.25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1</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1</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13.3</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89" t="s">
        <v>60</v>
      </c>
      <c r="C35" s="290"/>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7" t="s">
        <v>315</v>
      </c>
      <c r="C36" s="288"/>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4</v>
      </c>
    </row>
    <row r="40" spans="2:41" ht="15.75" hidden="1" customHeight="1">
      <c r="B40" s="153" t="s">
        <v>64</v>
      </c>
      <c r="C40" s="153">
        <f>C39/(1-C20)</f>
        <v>5.333333333333333</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J51" sqref="J51"/>
    </sheetView>
  </sheetViews>
  <sheetFormatPr baseColWidth="10"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2Gb DDR3 SDRAM (x16, -125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0</v>
      </c>
      <c r="H11" s="131" t="s">
        <v>10</v>
      </c>
      <c r="I11" s="56"/>
      <c r="J11" s="49" t="s">
        <v>104</v>
      </c>
      <c r="K11" s="51">
        <f>+G11*('System Config'!C$7/'DDR3 Config'!C$15)^2*IF('DDR3 Config'!I1=2,'System Config'!C$8/1000*'DDR3 Config'!C$30,1)</f>
        <v>0</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18.112500000000001</v>
      </c>
      <c r="H12" s="131" t="s">
        <v>10</v>
      </c>
      <c r="I12" s="56"/>
      <c r="J12" s="49" t="s">
        <v>105</v>
      </c>
      <c r="K12" s="51">
        <f>+G12*('System Config'!C$7/'DDR3 Config'!C$15)^2*'System Config'!C$8/1000*'DDR3 Config'!C$30</f>
        <v>8.2142857142857153</v>
      </c>
      <c r="L12" s="131" t="s">
        <v>10</v>
      </c>
      <c r="M12" s="18"/>
    </row>
    <row r="13" spans="1:13" ht="21" customHeight="1">
      <c r="A13" s="121" t="s">
        <v>4</v>
      </c>
      <c r="B13" s="175" t="s">
        <v>67</v>
      </c>
      <c r="C13" s="176">
        <f>+'DDR3 Config'!C24*'DDR3 Config'!C$15</f>
        <v>34.65</v>
      </c>
      <c r="D13" s="177" t="s">
        <v>10</v>
      </c>
      <c r="E13" s="120"/>
      <c r="F13" s="49" t="s">
        <v>118</v>
      </c>
      <c r="G13" s="51">
        <f>C13*(1-'System Config'!C16)*'System Config'!C18</f>
        <v>0</v>
      </c>
      <c r="H13" s="131" t="s">
        <v>10</v>
      </c>
      <c r="I13" s="56"/>
      <c r="J13" s="49" t="s">
        <v>106</v>
      </c>
      <c r="K13" s="51">
        <f>+G13*('System Config'!C$7/'DDR3 Config'!C$15)^2*'System Config'!C$8/1000*'DDR3 Config'!C$30</f>
        <v>0</v>
      </c>
      <c r="L13" s="131" t="s">
        <v>10</v>
      </c>
      <c r="M13" s="18"/>
    </row>
    <row r="14" spans="1:13" ht="21" customHeight="1">
      <c r="A14" s="121" t="s">
        <v>80</v>
      </c>
      <c r="B14" s="175" t="s">
        <v>68</v>
      </c>
      <c r="C14" s="176">
        <f>+'DDR3 Config'!C25*'DDR3 Config'!C$15</f>
        <v>58.274999999999999</v>
      </c>
      <c r="D14" s="177" t="s">
        <v>10</v>
      </c>
      <c r="E14" s="120"/>
      <c r="F14" s="49" t="s">
        <v>119</v>
      </c>
      <c r="G14" s="51">
        <f>C14*(1-'System Config'!C16)*(1-'System Config'!C18)</f>
        <v>29.137499999999999</v>
      </c>
      <c r="H14" s="131" t="s">
        <v>10</v>
      </c>
      <c r="I14" s="56"/>
      <c r="J14" s="49" t="s">
        <v>107</v>
      </c>
      <c r="K14" s="51">
        <f>+G14*('System Config'!C$7/'DDR3 Config'!C$15)^2*'System Config'!C$8/1000*'DDR3 Config'!C$30</f>
        <v>13.214285714285719</v>
      </c>
      <c r="L14" s="131" t="s">
        <v>10</v>
      </c>
      <c r="M14" s="18"/>
    </row>
    <row r="15" spans="1:13" ht="21" customHeight="1">
      <c r="A15" s="121" t="s">
        <v>18</v>
      </c>
      <c r="B15" s="175" t="s">
        <v>69</v>
      </c>
      <c r="C15" s="176">
        <f>('DDR3 Config'!C28-'DDR3 Config'!C25)*'DDR3 Config'!C34/'DDR3 Config'!C35/1000*'DDR3 Config'!C15</f>
        <v>4.6846153846153848</v>
      </c>
      <c r="D15" s="177" t="s">
        <v>10</v>
      </c>
      <c r="E15" s="120"/>
      <c r="F15" s="49" t="s">
        <v>120</v>
      </c>
      <c r="G15" s="51">
        <f>C15</f>
        <v>4.6846153846153848</v>
      </c>
      <c r="H15" s="131" t="s">
        <v>10</v>
      </c>
      <c r="I15" s="56"/>
      <c r="J15" s="49" t="s">
        <v>108</v>
      </c>
      <c r="K15" s="51">
        <f>+G15*('System Config'!C$7/'DDR3 Config'!C$15)^2</f>
        <v>4.24908424908425</v>
      </c>
      <c r="L15" s="131" t="s">
        <v>10</v>
      </c>
      <c r="M15" s="18"/>
    </row>
    <row r="16" spans="1:13" ht="21" customHeight="1">
      <c r="A16" s="121" t="s">
        <v>17</v>
      </c>
      <c r="B16" s="175" t="s">
        <v>70</v>
      </c>
      <c r="C16" s="176">
        <f>+('DDR3 Config'!C21-('DDR3 Config'!C25*'DDR3 Config'!C33/'DDR3 Config'!C32+'DDR3 Config'!C23*('DDR3 Config'!C32-'DDR3 Config'!C33)/'DDR3 Config'!C32))*'DDR3 Config'!C$15</f>
        <v>25.119230769230768</v>
      </c>
      <c r="D16" s="177" t="s">
        <v>10</v>
      </c>
      <c r="E16" s="120"/>
      <c r="F16" s="49" t="s">
        <v>121</v>
      </c>
      <c r="G16" s="51">
        <f>+C16*'DDR3 Config'!C32/'System Config'!C28</f>
        <v>92.07236842105263</v>
      </c>
      <c r="H16" s="131" t="s">
        <v>10</v>
      </c>
      <c r="I16" s="56"/>
      <c r="J16" s="49" t="s">
        <v>109</v>
      </c>
      <c r="K16" s="51">
        <f>+G16*('System Config'!C$7/'DDR3 Config'!C$15)^2</f>
        <v>83.512352309344806</v>
      </c>
      <c r="L16" s="131" t="s">
        <v>10</v>
      </c>
      <c r="M16" s="18"/>
    </row>
    <row r="17" spans="1:13" ht="21" customHeight="1">
      <c r="A17" s="121" t="s">
        <v>16</v>
      </c>
      <c r="B17" s="175" t="s">
        <v>71</v>
      </c>
      <c r="C17" s="176">
        <f>+('DDR3 Config'!C27-'DDR3 Config'!C$25)*'DDR3 Config'!C$15*8/'System Config'!C9</f>
        <v>171.67499999999998</v>
      </c>
      <c r="D17" s="177" t="s">
        <v>10</v>
      </c>
      <c r="E17" s="120"/>
      <c r="F17" s="49" t="s">
        <v>122</v>
      </c>
      <c r="G17" s="51">
        <f>+C17*'System Config'!C23</f>
        <v>0</v>
      </c>
      <c r="H17" s="131" t="s">
        <v>10</v>
      </c>
      <c r="I17" s="56"/>
      <c r="J17" s="49" t="s">
        <v>110</v>
      </c>
      <c r="K17" s="51">
        <f>+G17*('System Config'!C$7/'DDR3 Config'!C$15)^2*'System Config'!C$8/1000*'DDR3 Config'!C$30</f>
        <v>0</v>
      </c>
      <c r="L17" s="131" t="s">
        <v>10</v>
      </c>
      <c r="M17" s="18"/>
    </row>
    <row r="18" spans="1:13" ht="21" customHeight="1">
      <c r="A18" s="121" t="s">
        <v>61</v>
      </c>
      <c r="B18" s="175" t="s">
        <v>72</v>
      </c>
      <c r="C18" s="176">
        <f>+('DDR3 Config'!C26-'DDR3 Config'!C$25)*'DDR3 Config'!C$15*8/'System Config'!C9</f>
        <v>154.35</v>
      </c>
      <c r="D18" s="177" t="s">
        <v>10</v>
      </c>
      <c r="E18" s="120"/>
      <c r="F18" s="49" t="s">
        <v>123</v>
      </c>
      <c r="G18" s="51">
        <f>+C18*'System Config'!C22</f>
        <v>154.35</v>
      </c>
      <c r="H18" s="131" t="s">
        <v>10</v>
      </c>
      <c r="I18" s="56"/>
      <c r="J18" s="49" t="s">
        <v>111</v>
      </c>
      <c r="K18" s="51">
        <f>+G18*('System Config'!C$7/'DDR3 Config'!C$15)^2*'System Config'!C$8/1000*'DDR3 Config'!C$30</f>
        <v>70.000000000000014</v>
      </c>
      <c r="L18" s="131" t="s">
        <v>10</v>
      </c>
      <c r="M18" s="18"/>
    </row>
    <row r="19" spans="1:13" ht="21" customHeight="1">
      <c r="A19" s="121" t="s">
        <v>62</v>
      </c>
      <c r="B19" s="175" t="s">
        <v>73</v>
      </c>
      <c r="C19" s="176">
        <f>+('System Config'!C11*('DDR3 Config'!C$8+'DDR3 Config'!C18))</f>
        <v>229.59183673469386</v>
      </c>
      <c r="D19" s="177" t="s">
        <v>10</v>
      </c>
      <c r="E19" s="120"/>
      <c r="F19" s="49" t="s">
        <v>124</v>
      </c>
      <c r="G19" s="51">
        <f>+C19*'System Config'!C22</f>
        <v>229.59183673469386</v>
      </c>
      <c r="H19" s="131" t="s">
        <v>10</v>
      </c>
      <c r="I19" s="56"/>
      <c r="J19" s="49" t="s">
        <v>112</v>
      </c>
      <c r="K19" s="51">
        <f>+G19</f>
        <v>229.59183673469386</v>
      </c>
      <c r="L19" s="131" t="s">
        <v>10</v>
      </c>
      <c r="M19" s="18"/>
    </row>
    <row r="20" spans="1:13" ht="21" customHeight="1">
      <c r="A20" s="121" t="s">
        <v>30</v>
      </c>
      <c r="B20" s="175" t="s">
        <v>74</v>
      </c>
      <c r="C20" s="176">
        <f>+('System Config'!C12*('DDR3 Config'!C$8+'DDR3 Config'!C$18+'DDR3 Config'!C$19))</f>
        <v>0</v>
      </c>
      <c r="D20" s="177" t="s">
        <v>10</v>
      </c>
      <c r="E20" s="120"/>
      <c r="F20" s="49" t="s">
        <v>125</v>
      </c>
      <c r="G20" s="51">
        <f>+C20*'System Config'!C23</f>
        <v>0</v>
      </c>
      <c r="H20" s="131" t="s">
        <v>10</v>
      </c>
      <c r="I20" s="56"/>
      <c r="J20" s="49" t="s">
        <v>113</v>
      </c>
      <c r="K20" s="51">
        <f>+G20</f>
        <v>0</v>
      </c>
      <c r="L20" s="131" t="s">
        <v>10</v>
      </c>
      <c r="M20" s="18"/>
    </row>
    <row r="21" spans="1:13" ht="21" customHeight="1">
      <c r="A21" s="121" t="s">
        <v>90</v>
      </c>
      <c r="B21" s="175" t="s">
        <v>75</v>
      </c>
      <c r="C21" s="176">
        <f>+('System Config'!C13*('DDR3 Config'!C$8+'DDR3 Config'!C$18))</f>
        <v>0</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0</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408.78184472169437</v>
      </c>
      <c r="L24" s="134" t="s">
        <v>10</v>
      </c>
    </row>
    <row r="25" spans="1:13" ht="16.5" thickBot="1">
      <c r="G25" s="48"/>
      <c r="H25" s="133"/>
      <c r="I25" s="42"/>
      <c r="J25" s="181" t="s">
        <v>302</v>
      </c>
      <c r="K25" s="125">
        <f>SUM(K21:K22)</f>
        <v>0</v>
      </c>
      <c r="L25" s="134" t="s">
        <v>10</v>
      </c>
    </row>
    <row r="27" spans="1:13" ht="29.25" customHeight="1">
      <c r="G27" s="298"/>
      <c r="H27" s="298"/>
      <c r="K27" s="298"/>
      <c r="L27" s="298"/>
    </row>
    <row r="28" spans="1:13" hidden="1"/>
    <row r="29" spans="1:13" hidden="1">
      <c r="A29" s="4" t="s">
        <v>9</v>
      </c>
      <c r="C29" s="4">
        <f>'System Config'!C7</f>
        <v>1.5</v>
      </c>
    </row>
    <row r="30" spans="1:13" hidden="1">
      <c r="A30" s="4" t="s">
        <v>54</v>
      </c>
      <c r="C30" s="4">
        <f>'System Config'!C8</f>
        <v>400</v>
      </c>
    </row>
    <row r="31" spans="1:13" hidden="1"/>
    <row r="32" spans="1:13" hidden="1">
      <c r="A32" s="4" t="s">
        <v>55</v>
      </c>
    </row>
    <row r="33" spans="1:3" hidden="1">
      <c r="A33" s="4" t="s">
        <v>47</v>
      </c>
      <c r="C33" s="4" t="str">
        <f>'DDR3 Config'!C7</f>
        <v>2Gb</v>
      </c>
    </row>
    <row r="34" spans="1:3" hidden="1">
      <c r="A34" s="4" t="s">
        <v>56</v>
      </c>
      <c r="C34" s="4">
        <f>'DDR3 Config'!C8</f>
        <v>16</v>
      </c>
    </row>
    <row r="35" spans="1:3" hidden="1">
      <c r="A35" s="4" t="s">
        <v>48</v>
      </c>
      <c r="C35" s="4"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abSelected="1" topLeftCell="A7" workbookViewId="0">
      <selection activeCell="O39" sqref="O39"/>
    </sheetView>
  </sheetViews>
  <sheetFormatPr baseColWidth="10"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2Gb DDR3 SDRAM with 16 DQs and a -125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400 MHz clock with VDD = 1,5V. Read bandwidth is 1600 MT/s with write bandwidth of 0 MT/s. The DRAM terminates  0 MT/s. ACT commands are separated by 13,3ns on average. All parameters are calculated and require no user input.</v>
      </c>
      <c r="D7" s="136"/>
      <c r="E7" s="136"/>
      <c r="F7" s="136"/>
      <c r="G7" s="136"/>
      <c r="H7" s="136"/>
      <c r="I7" s="136"/>
      <c r="J7" s="136"/>
      <c r="K7" s="136"/>
      <c r="L7" s="136"/>
      <c r="M7" s="136"/>
    </row>
    <row r="8" spans="1:17" s="34" customFormat="1" ht="27" customHeight="1">
      <c r="A8" s="189"/>
      <c r="B8" s="299" t="s">
        <v>306</v>
      </c>
      <c r="C8" s="300"/>
      <c r="D8" s="300"/>
      <c r="E8" s="300"/>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83.512352309344806</v>
      </c>
      <c r="E10" s="220" t="s">
        <v>10</v>
      </c>
      <c r="F10" s="2"/>
      <c r="G10" s="2"/>
      <c r="H10" s="2"/>
      <c r="I10" s="2"/>
      <c r="J10" s="2"/>
      <c r="K10" s="2"/>
      <c r="L10" s="2"/>
      <c r="M10" s="193"/>
      <c r="P10" s="185" t="str">
        <f>$B$10</f>
        <v>ACT</v>
      </c>
      <c r="Q10" s="186">
        <f>$D$10</f>
        <v>83.512352309344806</v>
      </c>
    </row>
    <row r="11" spans="1:17" ht="15">
      <c r="A11" s="192"/>
      <c r="B11" s="213"/>
      <c r="C11" s="214" t="s">
        <v>81</v>
      </c>
      <c r="D11" s="215">
        <f>D10</f>
        <v>83.512352309344806</v>
      </c>
      <c r="E11" s="216" t="s">
        <v>10</v>
      </c>
      <c r="F11" s="2"/>
      <c r="G11" s="2"/>
      <c r="H11" s="2"/>
      <c r="I11" s="2"/>
      <c r="J11" s="2"/>
      <c r="K11" s="2"/>
      <c r="L11" s="2"/>
      <c r="M11" s="193"/>
      <c r="P11" s="185" t="str">
        <f>$B$12</f>
        <v>RD</v>
      </c>
      <c r="Q11" s="186">
        <f>$D$12</f>
        <v>70.000000000000014</v>
      </c>
    </row>
    <row r="12" spans="1:17" ht="14.25">
      <c r="A12" s="192"/>
      <c r="B12" s="221" t="s">
        <v>311</v>
      </c>
      <c r="C12" s="222"/>
      <c r="D12" s="223">
        <f>'Power Calcs'!K18</f>
        <v>70.000000000000014</v>
      </c>
      <c r="E12" s="224" t="s">
        <v>10</v>
      </c>
      <c r="F12" s="2"/>
      <c r="G12" s="2"/>
      <c r="H12" s="2"/>
      <c r="I12" s="2"/>
      <c r="J12" s="2"/>
      <c r="K12" s="2"/>
      <c r="L12" s="2"/>
      <c r="M12" s="193"/>
      <c r="P12" s="185" t="str">
        <f>$B$13</f>
        <v>WR</v>
      </c>
      <c r="Q12" s="186">
        <f>$D$13</f>
        <v>0</v>
      </c>
    </row>
    <row r="13" spans="1:17" ht="14.25">
      <c r="A13" s="192"/>
      <c r="B13" s="221" t="s">
        <v>310</v>
      </c>
      <c r="C13" s="222"/>
      <c r="D13" s="223">
        <f>'Power Calcs'!K17</f>
        <v>0</v>
      </c>
      <c r="E13" s="224" t="s">
        <v>10</v>
      </c>
      <c r="F13" s="2"/>
      <c r="G13" s="2"/>
      <c r="H13" s="2"/>
      <c r="I13" s="2"/>
      <c r="J13" s="2"/>
      <c r="K13" s="2"/>
      <c r="L13" s="2"/>
      <c r="M13" s="193"/>
      <c r="P13" s="185" t="str">
        <f>$B$14</f>
        <v>READ I/O</v>
      </c>
      <c r="Q13" s="186">
        <f>$D$14</f>
        <v>229.59183673469386</v>
      </c>
    </row>
    <row r="14" spans="1:17" ht="14.25">
      <c r="A14" s="192"/>
      <c r="B14" s="221" t="s">
        <v>312</v>
      </c>
      <c r="C14" s="222"/>
      <c r="D14" s="223">
        <f>'Power Calcs'!K19</f>
        <v>229.59183673469386</v>
      </c>
      <c r="E14" s="224" t="s">
        <v>10</v>
      </c>
      <c r="F14" s="2"/>
      <c r="G14" s="2"/>
      <c r="H14" s="2"/>
      <c r="I14" s="2"/>
      <c r="J14" s="2"/>
      <c r="K14" s="2"/>
      <c r="L14" s="2"/>
      <c r="M14" s="193"/>
      <c r="P14" s="185" t="str">
        <f>$B$15</f>
        <v>Write ODT</v>
      </c>
      <c r="Q14" s="186">
        <f>$D$15</f>
        <v>0</v>
      </c>
    </row>
    <row r="15" spans="1:17" ht="14.25">
      <c r="A15" s="192"/>
      <c r="B15" s="221" t="s">
        <v>313</v>
      </c>
      <c r="C15" s="222"/>
      <c r="D15" s="223">
        <f>'Power Calcs'!K20</f>
        <v>0</v>
      </c>
      <c r="E15" s="224" t="s">
        <v>10</v>
      </c>
      <c r="F15" s="2"/>
      <c r="G15" s="2"/>
      <c r="H15" s="2"/>
      <c r="I15" s="2"/>
      <c r="J15" s="2"/>
      <c r="K15" s="2"/>
      <c r="L15" s="2"/>
      <c r="M15" s="193"/>
      <c r="P15" s="185" t="str">
        <f>$B$17</f>
        <v>ACT_STBY</v>
      </c>
      <c r="Q15" s="186">
        <f>$D$17</f>
        <v>13.214285714285719</v>
      </c>
    </row>
    <row r="16" spans="1:17" ht="15">
      <c r="A16" s="192"/>
      <c r="B16" s="209"/>
      <c r="C16" s="210" t="s">
        <v>95</v>
      </c>
      <c r="D16" s="211">
        <f>+D12+D13+D14+D15</f>
        <v>299.59183673469386</v>
      </c>
      <c r="E16" s="212" t="s">
        <v>10</v>
      </c>
      <c r="F16" s="2"/>
      <c r="G16" s="2"/>
      <c r="H16" s="2"/>
      <c r="I16" s="2"/>
      <c r="J16" s="2"/>
      <c r="K16" s="2"/>
      <c r="L16" s="2"/>
      <c r="M16" s="193"/>
      <c r="P16" s="185" t="str">
        <f>$B$18</f>
        <v>PRE_STBY</v>
      </c>
      <c r="Q16" s="186">
        <f>$D$18</f>
        <v>8.2142857142857153</v>
      </c>
    </row>
    <row r="17" spans="1:17" ht="14.25">
      <c r="A17" s="192"/>
      <c r="B17" s="225" t="s">
        <v>307</v>
      </c>
      <c r="C17" s="226"/>
      <c r="D17" s="227">
        <f>'Power Calcs'!K14</f>
        <v>13.214285714285719</v>
      </c>
      <c r="E17" s="228" t="s">
        <v>10</v>
      </c>
      <c r="F17" s="2"/>
      <c r="G17" s="2"/>
      <c r="H17" s="2"/>
      <c r="I17" s="2"/>
      <c r="J17" s="2"/>
      <c r="K17" s="2"/>
      <c r="L17" s="2"/>
      <c r="M17" s="193"/>
      <c r="P17" s="185" t="str">
        <f>$B$19</f>
        <v>ACT_PDN</v>
      </c>
      <c r="Q17" s="186">
        <f>$D$19</f>
        <v>0</v>
      </c>
    </row>
    <row r="18" spans="1:17" ht="14.25">
      <c r="A18" s="192"/>
      <c r="B18" s="225" t="s">
        <v>304</v>
      </c>
      <c r="C18" s="226"/>
      <c r="D18" s="227">
        <f>'Power Calcs'!K12</f>
        <v>8.2142857142857153</v>
      </c>
      <c r="E18" s="228" t="s">
        <v>10</v>
      </c>
      <c r="F18" s="2"/>
      <c r="G18" s="2"/>
      <c r="H18" s="2"/>
      <c r="I18" s="2"/>
      <c r="J18" s="2"/>
      <c r="K18" s="2"/>
      <c r="L18" s="2"/>
      <c r="M18" s="193"/>
      <c r="P18" s="185" t="str">
        <f>$B$20</f>
        <v>PRE_PDN</v>
      </c>
      <c r="Q18" s="186">
        <f>$D$20</f>
        <v>0</v>
      </c>
    </row>
    <row r="19" spans="1:17" ht="14.25">
      <c r="A19" s="192"/>
      <c r="B19" s="225" t="s">
        <v>305</v>
      </c>
      <c r="C19" s="226"/>
      <c r="D19" s="227">
        <f>'Power Calcs'!K13</f>
        <v>0</v>
      </c>
      <c r="E19" s="228" t="s">
        <v>10</v>
      </c>
      <c r="F19" s="2"/>
      <c r="G19" s="2"/>
      <c r="H19" s="2"/>
      <c r="I19" s="2"/>
      <c r="J19" s="2"/>
      <c r="K19" s="2"/>
      <c r="L19" s="2"/>
      <c r="M19" s="193"/>
      <c r="P19" s="185" t="str">
        <f>$B$21</f>
        <v>REF</v>
      </c>
      <c r="Q19" s="186">
        <f>$D$21</f>
        <v>4.24908424908425</v>
      </c>
    </row>
    <row r="20" spans="1:17" ht="14.25">
      <c r="A20" s="192"/>
      <c r="B20" s="225" t="s">
        <v>303</v>
      </c>
      <c r="C20" s="226"/>
      <c r="D20" s="227">
        <f>'Power Calcs'!K11</f>
        <v>0</v>
      </c>
      <c r="E20" s="228" t="s">
        <v>10</v>
      </c>
      <c r="F20" s="2"/>
      <c r="G20" s="2"/>
      <c r="H20" s="2"/>
      <c r="I20" s="2"/>
      <c r="J20" s="2"/>
      <c r="K20" s="2"/>
      <c r="L20" s="2"/>
      <c r="M20" s="193"/>
      <c r="P20" s="185" t="str">
        <f>$B$24</f>
        <v>TERM 2nd rank</v>
      </c>
      <c r="Q20" s="186">
        <f>$D$24</f>
        <v>0</v>
      </c>
    </row>
    <row r="21" spans="1:17" ht="14.25">
      <c r="A21" s="192"/>
      <c r="B21" s="225" t="s">
        <v>308</v>
      </c>
      <c r="C21" s="226"/>
      <c r="D21" s="227">
        <f>'Power Calcs'!K15</f>
        <v>4.24908424908425</v>
      </c>
      <c r="E21" s="228" t="s">
        <v>10</v>
      </c>
      <c r="F21" s="2"/>
      <c r="G21" s="2"/>
      <c r="H21" s="2"/>
      <c r="I21" s="2"/>
      <c r="J21" s="2"/>
      <c r="K21" s="2"/>
      <c r="L21" s="2"/>
      <c r="M21" s="193"/>
      <c r="P21" s="183" t="s">
        <v>250</v>
      </c>
      <c r="Q21" s="182"/>
    </row>
    <row r="22" spans="1:17" ht="15">
      <c r="A22" s="192"/>
      <c r="B22" s="205"/>
      <c r="C22" s="206" t="s">
        <v>58</v>
      </c>
      <c r="D22" s="207">
        <f>SUM(D17:D21)</f>
        <v>25.677655677655686</v>
      </c>
      <c r="E22" s="208" t="s">
        <v>10</v>
      </c>
      <c r="F22" s="2"/>
      <c r="G22" s="2"/>
      <c r="H22" s="2"/>
      <c r="I22" s="2"/>
      <c r="J22" s="2"/>
      <c r="K22" s="2"/>
      <c r="L22" s="2"/>
      <c r="M22" s="193"/>
      <c r="P22" s="183" t="s">
        <v>250</v>
      </c>
      <c r="Q22" s="182"/>
    </row>
    <row r="23" spans="1:17" ht="15">
      <c r="A23" s="192"/>
      <c r="B23" s="197" t="s">
        <v>211</v>
      </c>
      <c r="C23" s="196"/>
      <c r="D23" s="198">
        <f>+D16+D11+D22</f>
        <v>408.78184472169437</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400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1600 MT/s with write bandwidth of 0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13,3ns on average.</v>
      </c>
      <c r="B51" s="2"/>
      <c r="C51" s="2"/>
      <c r="D51" s="2"/>
      <c r="E51" s="2"/>
      <c r="F51" s="2"/>
      <c r="G51" s="2"/>
      <c r="H51" s="2"/>
      <c r="I51" s="2"/>
      <c r="J51" s="2"/>
      <c r="K51" s="2"/>
      <c r="L51" s="2"/>
      <c r="M51" s="193"/>
    </row>
    <row r="52" spans="1:13" ht="13.15" hidden="1" customHeight="1">
      <c r="A52" s="192"/>
      <c r="B52" s="44">
        <f>INT('System Config'!C8*'System Config'!C22*'DDR3 Config'!C8/8*20+0.999)/10</f>
        <v>1600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3.xml><?xml version="1.0" encoding="utf-8"?>
<ds:datastoreItem xmlns:ds="http://schemas.openxmlformats.org/officeDocument/2006/customXml" ds:itemID="{DF1B8CA0-A311-464C-9550-2174FC250EC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Config'!Zone_d_impression</vt:lpstr>
      <vt:lpstr>'DDR3 Spec'!Zone_d_impression</vt:lpstr>
      <vt:lpstr>Instructions!Zone_d_impression</vt:lpstr>
      <vt:lpstr>'Power Calcs'!Zone_d_impression</vt:lpstr>
      <vt:lpstr>Summary!Zone_d_impression</vt:lpstr>
      <vt:lpstr>'System Config'!Zone_d_impression</vt:lpstr>
      <vt:lpstr>Title!Zone_d_impression</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Philippe</cp:lastModifiedBy>
  <cp:lastPrinted>2007-03-14T16:31:05Z</cp:lastPrinted>
  <dcterms:created xsi:type="dcterms:W3CDTF">2001-02-07T14:39:54Z</dcterms:created>
  <dcterms:modified xsi:type="dcterms:W3CDTF">2021-01-20T23:33:53Z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